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60" yWindow="2420" windowWidth="14680" windowHeight="17640" tabRatio="600" firstSheet="0" activeTab="0" autoFilterDateGrouping="1"/>
  </bookViews>
  <sheets>
    <sheet name="FOAK" sheetId="1" state="visible" r:id="rId1"/>
    <sheet name="NOAK_with_inc" sheetId="2" state="visible" r:id="rId2"/>
    <sheet name="NOAK_wo_inc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1"/>
  </cellStyleXfs>
  <cellXfs count="12">
    <xf numFmtId="0" fontId="0" fillId="0" borderId="0" pivotButton="0" quotePrefix="0" xfId="0"/>
    <xf numFmtId="4" fontId="1" fillId="0" borderId="1" applyAlignment="1" pivotButton="0" quotePrefix="0" xfId="0">
      <alignment horizontal="left"/>
    </xf>
    <xf numFmtId="3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3" fontId="0" fillId="0" borderId="0" pivotButton="0" quotePrefix="0" xfId="0"/>
    <xf numFmtId="4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164" fontId="0" fillId="0" borderId="0" pivotButton="0" quotePrefix="0" xfId="0"/>
    <xf numFmtId="0" fontId="3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tabSelected="1" workbookViewId="0">
      <selection activeCell="H7" sqref="H7"/>
    </sheetView>
  </sheetViews>
  <sheetFormatPr baseColWidth="10" defaultRowHeight="15"/>
  <cols>
    <col width="14.83203125" bestFit="1" customWidth="1" min="4" max="4"/>
    <col width="12" bestFit="1" customWidth="1" min="7" max="7"/>
    <col width="13.33203125" bestFit="1" customWidth="1" min="8" max="8"/>
  </cols>
  <sheetData>
    <row r="1">
      <c r="A1" t="inlineStr">
        <is>
          <t>Type</t>
        </is>
      </c>
      <c r="B1" s="6" t="inlineStr">
        <is>
          <t>Power in MWe</t>
        </is>
      </c>
      <c r="C1" s="7" t="inlineStr">
        <is>
          <t>Power in MWt</t>
        </is>
      </c>
      <c r="D1" s="1" t="inlineStr">
        <is>
          <t>Thermal Efficiency</t>
        </is>
      </c>
      <c r="E1" s="6" t="inlineStr">
        <is>
          <t>Thermal transfer efficiency</t>
        </is>
      </c>
      <c r="F1" s="2" t="inlineStr">
        <is>
          <t>Outlet Temp (C)</t>
        </is>
      </c>
      <c r="G1" s="2" t="inlineStr">
        <is>
          <t>CAPEX $/MWe</t>
        </is>
      </c>
      <c r="H1" s="2" t="inlineStr">
        <is>
          <t>FOPEX $/MWe-y</t>
        </is>
      </c>
      <c r="I1" s="7" t="inlineStr">
        <is>
          <t>VOM in $/MWh-e</t>
        </is>
      </c>
      <c r="J1" s="7" t="inlineStr">
        <is>
          <t>Life (y)</t>
        </is>
      </c>
    </row>
    <row r="2">
      <c r="A2" t="inlineStr">
        <is>
          <t>PWR</t>
        </is>
      </c>
      <c r="B2" s="4" t="n">
        <v>77</v>
      </c>
      <c r="C2" s="4" t="n">
        <v>250</v>
      </c>
      <c r="D2" s="3">
        <f>B2/C2</f>
        <v/>
      </c>
      <c r="E2" s="4" t="n">
        <v>1</v>
      </c>
      <c r="F2" s="4" t="n">
        <v>316</v>
      </c>
      <c r="G2" s="4" t="n">
        <v>22561000</v>
      </c>
      <c r="H2" s="5" t="n">
        <v>180000</v>
      </c>
      <c r="I2" s="9" t="n">
        <v>7.2</v>
      </c>
      <c r="J2" s="5" t="n">
        <v>60</v>
      </c>
    </row>
    <row r="3">
      <c r="A3" t="inlineStr">
        <is>
          <t>HTR</t>
        </is>
      </c>
      <c r="B3" s="4" t="n">
        <v>265</v>
      </c>
      <c r="C3" s="4" t="n">
        <v>500</v>
      </c>
      <c r="D3" s="3">
        <f>B3/C3</f>
        <v/>
      </c>
      <c r="E3" s="3" t="n">
        <v>0.897</v>
      </c>
      <c r="F3" s="4" t="n">
        <v>850</v>
      </c>
      <c r="G3" t="n">
        <v>10166000</v>
      </c>
      <c r="H3" s="5" t="n">
        <v>104000</v>
      </c>
      <c r="I3" s="9" t="n">
        <v>19.3</v>
      </c>
      <c r="J3" s="5" t="n">
        <v>60</v>
      </c>
    </row>
    <row r="4">
      <c r="A4" t="inlineStr">
        <is>
          <t>MSR</t>
        </is>
      </c>
      <c r="B4" s="4" t="n">
        <v>195</v>
      </c>
      <c r="C4" s="4" t="n">
        <v>440</v>
      </c>
      <c r="D4" s="3">
        <f>B4/C4</f>
        <v/>
      </c>
      <c r="E4" s="3" t="n">
        <v>0.9399999999999999</v>
      </c>
      <c r="F4" s="4" t="n">
        <v>700</v>
      </c>
      <c r="G4" t="n">
        <v>7312000</v>
      </c>
      <c r="H4" s="5" t="n">
        <v>181000</v>
      </c>
      <c r="I4" s="9" t="n">
        <v>8.9</v>
      </c>
      <c r="J4" s="5" t="n">
        <v>60</v>
      </c>
    </row>
    <row r="5">
      <c r="A5" t="inlineStr">
        <is>
          <t>MR</t>
        </is>
      </c>
      <c r="B5" s="8" t="n">
        <v>3.5</v>
      </c>
      <c r="C5" s="4" t="n">
        <v>12</v>
      </c>
      <c r="D5" s="3">
        <f>B5/C5</f>
        <v/>
      </c>
      <c r="E5" s="3" t="n">
        <v>0.9</v>
      </c>
      <c r="F5" s="4" t="n">
        <v>700</v>
      </c>
      <c r="G5" t="n">
        <v>18115000</v>
      </c>
      <c r="H5" s="5" t="n">
        <v>131000</v>
      </c>
      <c r="I5" s="9" t="n">
        <v>29.6</v>
      </c>
      <c r="J5" s="5" t="n">
        <v>40</v>
      </c>
    </row>
    <row r="6">
      <c r="A6" t="inlineStr">
        <is>
          <t>SFR</t>
        </is>
      </c>
      <c r="B6" s="4" t="n">
        <v>100</v>
      </c>
      <c r="C6" s="4" t="n">
        <v>286</v>
      </c>
      <c r="D6" s="3">
        <f>B6/C6</f>
        <v/>
      </c>
      <c r="E6" s="3" t="n">
        <v>0.9399999999999999</v>
      </c>
      <c r="F6" s="4" t="n">
        <v>510</v>
      </c>
      <c r="G6" t="n">
        <v>22154000</v>
      </c>
      <c r="H6" s="5" t="n">
        <v>131000</v>
      </c>
      <c r="I6" s="9" t="n">
        <v>78</v>
      </c>
      <c r="J6" s="5" t="n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Type</t>
        </is>
      </c>
      <c r="B1" s="11" t="inlineStr">
        <is>
          <t>Power in MWe</t>
        </is>
      </c>
      <c r="C1" s="11" t="inlineStr">
        <is>
          <t>Power in MWt</t>
        </is>
      </c>
      <c r="D1" s="11" t="inlineStr">
        <is>
          <t>Thermal Efficiency</t>
        </is>
      </c>
      <c r="E1" s="11" t="inlineStr">
        <is>
          <t>Thermal transfer efficiency</t>
        </is>
      </c>
      <c r="F1" s="11" t="inlineStr">
        <is>
          <t>Outlet Temp (C)</t>
        </is>
      </c>
      <c r="G1" s="11" t="inlineStr">
        <is>
          <t>CAPEX $/MWe</t>
        </is>
      </c>
      <c r="H1" s="11" t="inlineStr">
        <is>
          <t>FOPEX $/MWe-y</t>
        </is>
      </c>
      <c r="I1" s="11" t="inlineStr">
        <is>
          <t>VOM in $/MWh-e</t>
        </is>
      </c>
      <c r="J1" s="11" t="inlineStr">
        <is>
          <t>Life (y)</t>
        </is>
      </c>
    </row>
    <row r="2">
      <c r="A2" s="11" t="inlineStr">
        <is>
          <t>PWR</t>
        </is>
      </c>
      <c r="B2" t="n">
        <v>77</v>
      </c>
      <c r="C2" t="n">
        <v>250</v>
      </c>
      <c r="E2" t="n">
        <v>1</v>
      </c>
      <c r="F2" t="n">
        <v>316</v>
      </c>
      <c r="G2" t="n">
        <v>20981730</v>
      </c>
      <c r="H2" t="n">
        <v>180000</v>
      </c>
      <c r="I2" t="n">
        <v>7.2</v>
      </c>
      <c r="J2" t="n">
        <v>60</v>
      </c>
    </row>
    <row r="3">
      <c r="A3" s="11" t="inlineStr">
        <is>
          <t>HTR</t>
        </is>
      </c>
      <c r="B3" t="n">
        <v>265</v>
      </c>
      <c r="C3" t="n">
        <v>500</v>
      </c>
      <c r="E3" t="n">
        <v>0.897</v>
      </c>
      <c r="F3" t="n">
        <v>850</v>
      </c>
      <c r="G3" t="n">
        <v>9454380</v>
      </c>
      <c r="H3" t="n">
        <v>104000</v>
      </c>
      <c r="I3" t="n">
        <v>19.3</v>
      </c>
      <c r="J3" t="n">
        <v>60</v>
      </c>
    </row>
    <row r="4">
      <c r="A4" s="11" t="inlineStr">
        <is>
          <t>MSR</t>
        </is>
      </c>
      <c r="B4" t="n">
        <v>195</v>
      </c>
      <c r="C4" t="n">
        <v>440</v>
      </c>
      <c r="E4" t="n">
        <v>0.9399999999999999</v>
      </c>
      <c r="F4" t="n">
        <v>700</v>
      </c>
      <c r="G4" t="n">
        <v>5964260.90400195</v>
      </c>
      <c r="H4" t="n">
        <v>181000</v>
      </c>
      <c r="I4" t="n">
        <v>8.9</v>
      </c>
      <c r="J4" t="n">
        <v>60</v>
      </c>
    </row>
    <row r="5">
      <c r="A5" s="11" t="inlineStr">
        <is>
          <t>MR</t>
        </is>
      </c>
      <c r="B5" t="n">
        <v>3.5</v>
      </c>
      <c r="C5" t="n">
        <v>12</v>
      </c>
      <c r="E5" t="n">
        <v>0.9</v>
      </c>
      <c r="F5" t="n">
        <v>700</v>
      </c>
      <c r="G5" t="n">
        <v>14776064.86269083</v>
      </c>
      <c r="H5" t="n">
        <v>131000</v>
      </c>
      <c r="I5" t="n">
        <v>29.6</v>
      </c>
      <c r="J5" t="n">
        <v>40</v>
      </c>
    </row>
    <row r="6">
      <c r="A6" s="11" t="inlineStr">
        <is>
          <t>SFR</t>
        </is>
      </c>
      <c r="B6" t="n">
        <v>100</v>
      </c>
      <c r="C6" t="n">
        <v>286</v>
      </c>
      <c r="E6" t="n">
        <v>0.9399999999999999</v>
      </c>
      <c r="F6" t="n">
        <v>510</v>
      </c>
      <c r="G6" t="n">
        <v>22154000</v>
      </c>
      <c r="H6" t="n">
        <v>131000</v>
      </c>
      <c r="I6" t="n">
        <v>78</v>
      </c>
      <c r="J6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Type</t>
        </is>
      </c>
      <c r="B1" s="11" t="inlineStr">
        <is>
          <t>Power in MWe</t>
        </is>
      </c>
      <c r="C1" s="11" t="inlineStr">
        <is>
          <t>Power in MWt</t>
        </is>
      </c>
      <c r="D1" s="11" t="inlineStr">
        <is>
          <t>Thermal Efficiency</t>
        </is>
      </c>
      <c r="E1" s="11" t="inlineStr">
        <is>
          <t>Thermal transfer efficiency</t>
        </is>
      </c>
      <c r="F1" s="11" t="inlineStr">
        <is>
          <t>Outlet Temp (C)</t>
        </is>
      </c>
      <c r="G1" s="11" t="inlineStr">
        <is>
          <t>CAPEX $/MWe</t>
        </is>
      </c>
      <c r="H1" s="11" t="inlineStr">
        <is>
          <t>FOPEX $/MWe-y</t>
        </is>
      </c>
      <c r="I1" s="11" t="inlineStr">
        <is>
          <t>VOM in $/MWh-e</t>
        </is>
      </c>
      <c r="J1" s="11" t="inlineStr">
        <is>
          <t>Life (y)</t>
        </is>
      </c>
    </row>
    <row r="2">
      <c r="A2" s="11" t="inlineStr">
        <is>
          <t>PWR</t>
        </is>
      </c>
      <c r="B2" t="n">
        <v>77</v>
      </c>
      <c r="C2" t="n">
        <v>250</v>
      </c>
      <c r="D2" t="inlineStr"/>
      <c r="E2" t="n">
        <v>1</v>
      </c>
      <c r="F2" t="n">
        <v>316</v>
      </c>
      <c r="G2" t="n">
        <v>22561000</v>
      </c>
      <c r="H2" t="n">
        <v>180000</v>
      </c>
      <c r="I2" t="n">
        <v>7.2</v>
      </c>
      <c r="J2" t="n">
        <v>60</v>
      </c>
    </row>
    <row r="3">
      <c r="A3" s="11" t="inlineStr">
        <is>
          <t>HTR</t>
        </is>
      </c>
      <c r="B3" t="n">
        <v>265</v>
      </c>
      <c r="C3" t="n">
        <v>500</v>
      </c>
      <c r="D3" t="inlineStr"/>
      <c r="E3" t="n">
        <v>0.897</v>
      </c>
      <c r="F3" t="n">
        <v>850</v>
      </c>
      <c r="G3" t="n">
        <v>10166000</v>
      </c>
      <c r="H3" t="n">
        <v>104000</v>
      </c>
      <c r="I3" t="n">
        <v>19.3</v>
      </c>
      <c r="J3" t="n">
        <v>60</v>
      </c>
    </row>
    <row r="4">
      <c r="A4" s="11" t="inlineStr">
        <is>
          <t>MSR</t>
        </is>
      </c>
      <c r="B4" t="n">
        <v>195</v>
      </c>
      <c r="C4" t="n">
        <v>440</v>
      </c>
      <c r="D4" t="inlineStr"/>
      <c r="E4" t="n">
        <v>0.9399999999999999</v>
      </c>
      <c r="F4" t="n">
        <v>700</v>
      </c>
      <c r="G4" t="n">
        <v>7312000</v>
      </c>
      <c r="H4" t="n">
        <v>181000</v>
      </c>
      <c r="I4" t="n">
        <v>8.9</v>
      </c>
      <c r="J4" t="n">
        <v>60</v>
      </c>
    </row>
    <row r="5">
      <c r="A5" s="11" t="inlineStr">
        <is>
          <t>MR</t>
        </is>
      </c>
      <c r="B5" t="n">
        <v>3.5</v>
      </c>
      <c r="C5" t="n">
        <v>12</v>
      </c>
      <c r="D5" t="inlineStr"/>
      <c r="E5" t="n">
        <v>0.9</v>
      </c>
      <c r="F5" t="n">
        <v>700</v>
      </c>
      <c r="G5" t="n">
        <v>18115000</v>
      </c>
      <c r="H5" t="n">
        <v>131000</v>
      </c>
      <c r="I5" t="n">
        <v>29.6</v>
      </c>
      <c r="J5" t="n">
        <v>40</v>
      </c>
    </row>
    <row r="6">
      <c r="A6" s="11" t="inlineStr">
        <is>
          <t>SFR</t>
        </is>
      </c>
      <c r="B6" t="n">
        <v>100</v>
      </c>
      <c r="C6" t="n">
        <v>286</v>
      </c>
      <c r="D6" t="inlineStr"/>
      <c r="E6" t="n">
        <v>0.9399999999999999</v>
      </c>
      <c r="F6" t="n">
        <v>510</v>
      </c>
      <c r="G6" t="n">
        <v>22154000</v>
      </c>
      <c r="H6" t="n">
        <v>131000</v>
      </c>
      <c r="I6" t="n">
        <v>78</v>
      </c>
      <c r="J6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2023-10-04T18:26:39Z</dcterms:created>
  <dcterms:modified xsi:type="dcterms:W3CDTF">2025-04-08T15:58:35Z</dcterms:modified>
  <cp:lastModifiedBy>Garrouste, Marisol</cp:lastModifiedBy>
</cp:coreProperties>
</file>